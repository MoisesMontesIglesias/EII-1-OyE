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ise\Downloads\"/>
    </mc:Choice>
  </mc:AlternateContent>
  <xr:revisionPtr revIDLastSave="0" documentId="13_ncr:1_{89CE5B5E-B819-40D9-902A-E639289E22DD}" xr6:coauthVersionLast="47" xr6:coauthVersionMax="47" xr10:uidLastSave="{00000000-0000-0000-0000-000000000000}"/>
  <bookViews>
    <workbookView xWindow="75" yWindow="225" windowWidth="17940" windowHeight="15630" xr2:uid="{2C5BB9F5-ADBF-4469-B377-907B8E229C7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54" i="1"/>
  <c r="D55" i="1"/>
  <c r="D56" i="1"/>
  <c r="D57" i="1"/>
  <c r="D52" i="1"/>
  <c r="C53" i="1"/>
  <c r="C54" i="1"/>
  <c r="C55" i="1"/>
  <c r="C56" i="1"/>
  <c r="C57" i="1"/>
  <c r="C52" i="1"/>
  <c r="B18" i="1"/>
  <c r="B19" i="1"/>
  <c r="B20" i="1"/>
  <c r="B21" i="1"/>
  <c r="B22" i="1"/>
  <c r="B23" i="1"/>
  <c r="B17" i="1"/>
  <c r="A36" i="1" s="1" a="1"/>
  <c r="B39" i="1" s="1"/>
  <c r="A72" i="1" l="1" a="1"/>
  <c r="B72" i="1" s="1"/>
  <c r="B65" i="1" s="1"/>
  <c r="A39" i="1"/>
  <c r="B38" i="1"/>
  <c r="A38" i="1"/>
  <c r="B33" i="1" s="1"/>
  <c r="B37" i="1"/>
  <c r="B32" i="1" s="1"/>
  <c r="A37" i="1"/>
  <c r="B28" i="1" s="1"/>
  <c r="B30" i="1" s="1"/>
  <c r="B36" i="1"/>
  <c r="B31" i="1" s="1"/>
  <c r="A36" i="1"/>
  <c r="B27" i="1" s="1"/>
  <c r="B29" i="1" s="1"/>
  <c r="A73" i="1" l="1"/>
  <c r="B64" i="1" s="1"/>
  <c r="B73" i="1"/>
  <c r="B66" i="1" s="1"/>
  <c r="A74" i="1"/>
  <c r="B67" i="1" s="1"/>
  <c r="B74" i="1"/>
  <c r="A75" i="1"/>
  <c r="B75" i="1"/>
  <c r="A72" i="1"/>
  <c r="B63" i="1" s="1"/>
  <c r="B68" i="1" s="1"/>
  <c r="B69" i="1" l="1"/>
</calcChain>
</file>

<file path=xl/sharedStrings.xml><?xml version="1.0" encoding="utf-8"?>
<sst xmlns="http://schemas.openxmlformats.org/spreadsheetml/2006/main" count="77" uniqueCount="66">
  <si>
    <t>L(m)</t>
  </si>
  <si>
    <t>1/L(m)</t>
  </si>
  <si>
    <t>f1(Hz)</t>
  </si>
  <si>
    <t>f1(hz)</t>
  </si>
  <si>
    <t>f1^2(Hz^2)</t>
  </si>
  <si>
    <t>P(N)</t>
  </si>
  <si>
    <r>
      <t xml:space="preserve">f1 = 7,1 </t>
    </r>
    <r>
      <rPr>
        <sz val="11"/>
        <color theme="1"/>
        <rFont val="Calibri"/>
        <family val="2"/>
      </rPr>
      <t>± 0,1 Hz</t>
    </r>
  </si>
  <si>
    <t>f2 = 14 ± 0,1 Hz</t>
  </si>
  <si>
    <t>f3 = 21,1 ± 0,1 Hz</t>
  </si>
  <si>
    <t>f4 = 28 ± 0,1 Hz</t>
  </si>
  <si>
    <t>f5 = 35,1 ± 0,1 Hz</t>
  </si>
  <si>
    <t>f6 = 42 ± 0,1 Hz</t>
  </si>
  <si>
    <t>f7 = 49 ± 0,1 Hz</t>
  </si>
  <si>
    <t>f8 = 56 ± 0,1 Hz</t>
  </si>
  <si>
    <t>f9 = 63 ± 0,1 Hz</t>
  </si>
  <si>
    <t>Frecuencias</t>
  </si>
  <si>
    <t>Nº armónicos</t>
  </si>
  <si>
    <t>Frecuencias y errores</t>
  </si>
  <si>
    <t>m (pendiente)</t>
  </si>
  <si>
    <t>v(velocidad de propagación)</t>
  </si>
  <si>
    <t>Error de la pendiente()</t>
  </si>
  <si>
    <t>Ordenada en el origen</t>
  </si>
  <si>
    <t>Coeficiente de correlación</t>
  </si>
  <si>
    <t>Error de la ordenada</t>
  </si>
  <si>
    <t>Error de velocidad</t>
  </si>
  <si>
    <t>Error de longitud(m)</t>
  </si>
  <si>
    <t>m(kg)</t>
  </si>
  <si>
    <t>Valor de la gravedad(m/s^2)</t>
  </si>
  <si>
    <t>Pendiente(m)</t>
  </si>
  <si>
    <t>Error de pendiente(m)</t>
  </si>
  <si>
    <t>Longitud(m)</t>
  </si>
  <si>
    <t>µ(Densidad lineal)</t>
  </si>
  <si>
    <t>Error de la densidad</t>
  </si>
  <si>
    <t>Estimación lineal</t>
  </si>
  <si>
    <t>Valores de trabajo</t>
  </si>
  <si>
    <t xml:space="preserve">Valores con unidades </t>
  </si>
  <si>
    <t>9,8 m/s^2</t>
  </si>
  <si>
    <t>1,6 m</t>
  </si>
  <si>
    <t>0,001 m</t>
  </si>
  <si>
    <t>0,0011 m</t>
  </si>
  <si>
    <t xml:space="preserve">0,0395 m </t>
  </si>
  <si>
    <t>(-0,0361 m)</t>
  </si>
  <si>
    <t>0,0607 m</t>
  </si>
  <si>
    <t>0,9968 m</t>
  </si>
  <si>
    <t>Valores con unidades</t>
  </si>
  <si>
    <t>9,8903 m</t>
  </si>
  <si>
    <t>0,3850 m</t>
  </si>
  <si>
    <t>0,9613 m</t>
  </si>
  <si>
    <t>0,3073 m</t>
  </si>
  <si>
    <t>0,9925 m</t>
  </si>
  <si>
    <t>19,7806 m/s</t>
  </si>
  <si>
    <t>0,7700 m/s</t>
  </si>
  <si>
    <t>Valores con sus errores</t>
  </si>
  <si>
    <t>Pendiente</t>
  </si>
  <si>
    <t>9,8903 ± 0,385 m</t>
  </si>
  <si>
    <t>0,9613 ± 0,3073 m</t>
  </si>
  <si>
    <t>Velocidad de propagación</t>
  </si>
  <si>
    <t>19,7806 ± 0,77 m/s</t>
  </si>
  <si>
    <t>0,0395 ± 0,0011 m</t>
  </si>
  <si>
    <t>(-0,0395 ± 0,0607 m)</t>
  </si>
  <si>
    <t>Densidad lineal</t>
  </si>
  <si>
    <t>0,0252  kg/m</t>
  </si>
  <si>
    <t>0,0008 kg/m</t>
  </si>
  <si>
    <t>0,0252 ± 0,0008 kg/m</t>
  </si>
  <si>
    <t>Error de longitud</t>
  </si>
  <si>
    <t>1,6 ± 0,001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</si>
</sst>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65" fontId="0" fillId="2" borderId="1" xfId="0" applyNumberForma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Frecuencias armónicas frente a diferentes longitudes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Hoja1!$C$16</c:f>
              <c:strCache>
                <c:ptCount val="1"/>
                <c:pt idx="0">
                  <c:v>f1(Hz)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494750656167977E-2"/>
                  <c:y val="0.29587962962962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Hoja1!$B$17:$B$23</c:f>
              <c:numCache>
                <c:formatCode>0.000</c:formatCode>
                <c:ptCount val="7"/>
                <c:pt idx="0">
                  <c:v>0.625</c:v>
                </c:pt>
                <c:pt idx="1">
                  <c:v>0.66666666666666663</c:v>
                </c:pt>
                <c:pt idx="2">
                  <c:v>0.7142857142857143</c:v>
                </c:pt>
                <c:pt idx="3">
                  <c:v>0.76923076923076916</c:v>
                </c:pt>
                <c:pt idx="4">
                  <c:v>0.83333333333333337</c:v>
                </c:pt>
                <c:pt idx="5">
                  <c:v>0.90909090909090906</c:v>
                </c:pt>
                <c:pt idx="6">
                  <c:v>1</c:v>
                </c:pt>
              </c:numCache>
            </c:numRef>
          </c:xVal>
          <c:yVal>
            <c:numRef>
              <c:f>Hoja1!$C$17:$C$23</c:f>
              <c:numCache>
                <c:formatCode>General</c:formatCode>
                <c:ptCount val="7"/>
                <c:pt idx="0">
                  <c:v>7</c:v>
                </c:pt>
                <c:pt idx="1">
                  <c:v>7.5</c:v>
                </c:pt>
                <c:pt idx="2">
                  <c:v>8.1</c:v>
                </c:pt>
                <c:pt idx="3">
                  <c:v>8.6999999999999993</c:v>
                </c:pt>
                <c:pt idx="4">
                  <c:v>9.3000000000000007</c:v>
                </c:pt>
                <c:pt idx="5">
                  <c:v>10</c:v>
                </c:pt>
                <c:pt idx="6">
                  <c:v>10.7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17-4297-8A02-0C499C2A3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775295"/>
        <c:axId val="1965692015"/>
      </c:scatterChart>
      <c:valAx>
        <c:axId val="201477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Longitud(m)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5692015"/>
        <c:crosses val="autoZero"/>
        <c:crossBetween val="midCat"/>
      </c:valAx>
      <c:valAx>
        <c:axId val="19656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Frecuencias armónicas(Hz)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14775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Peso</a:t>
            </a:r>
            <a:r>
              <a:rPr lang="en-US" baseline="0"/>
              <a:t> frente a la frecuencia al cuadrado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Hoja1!$D$51</c:f>
              <c:strCache>
                <c:ptCount val="1"/>
                <c:pt idx="0">
                  <c:v>P(N)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794135751733882E-2"/>
                  <c:y val="0.32236470846514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Hoja1!$C$52:$C$57</c:f>
              <c:numCache>
                <c:formatCode>General</c:formatCode>
                <c:ptCount val="6"/>
                <c:pt idx="0">
                  <c:v>38.440000000000005</c:v>
                </c:pt>
                <c:pt idx="1">
                  <c:v>43.559999999999995</c:v>
                </c:pt>
                <c:pt idx="2">
                  <c:v>50.41</c:v>
                </c:pt>
                <c:pt idx="3">
                  <c:v>54.760000000000005</c:v>
                </c:pt>
                <c:pt idx="4">
                  <c:v>62.410000000000004</c:v>
                </c:pt>
                <c:pt idx="5">
                  <c:v>68.890000000000015</c:v>
                </c:pt>
              </c:numCache>
            </c:numRef>
          </c:xVal>
          <c:yVal>
            <c:numRef>
              <c:f>Hoja1!$D$52:$D$57</c:f>
              <c:numCache>
                <c:formatCode>General</c:formatCode>
                <c:ptCount val="6"/>
                <c:pt idx="0">
                  <c:v>1.47</c:v>
                </c:pt>
                <c:pt idx="1">
                  <c:v>1.6660000000000001</c:v>
                </c:pt>
                <c:pt idx="2">
                  <c:v>1.9600000000000002</c:v>
                </c:pt>
                <c:pt idx="3">
                  <c:v>2.1560000000000001</c:v>
                </c:pt>
                <c:pt idx="4">
                  <c:v>2.4500000000000002</c:v>
                </c:pt>
                <c:pt idx="5">
                  <c:v>2.6460000000000004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2-458E-B87D-750D34699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950943"/>
        <c:axId val="1963207631"/>
      </c:scatterChart>
      <c:valAx>
        <c:axId val="195495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Frecuencia</a:t>
                </a:r>
                <a:r>
                  <a:rPr lang="es-ES" baseline="0"/>
                  <a:t> al cuadrado (Hz^2)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3207631"/>
        <c:crosses val="autoZero"/>
        <c:crossBetween val="midCat"/>
      </c:valAx>
      <c:valAx>
        <c:axId val="196320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Peso(N)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95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Tabla de misma frecuencia con armónicos diferentes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Frecuencias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69903762029746E-2"/>
                  <c:y val="0.19361111111111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Hoja1!$C$2:$C$10</c:f>
              <c:numCache>
                <c:formatCode>General</c:formatCode>
                <c:ptCount val="9"/>
                <c:pt idx="0">
                  <c:v>7.1</c:v>
                </c:pt>
                <c:pt idx="1">
                  <c:v>14</c:v>
                </c:pt>
                <c:pt idx="2">
                  <c:v>21.1</c:v>
                </c:pt>
                <c:pt idx="3">
                  <c:v>28</c:v>
                </c:pt>
                <c:pt idx="4">
                  <c:v>35</c:v>
                </c:pt>
                <c:pt idx="5">
                  <c:v>42</c:v>
                </c:pt>
                <c:pt idx="6">
                  <c:v>49</c:v>
                </c:pt>
                <c:pt idx="7">
                  <c:v>56</c:v>
                </c:pt>
                <c:pt idx="8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8-4E6E-8DB3-D21FB3731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937951"/>
        <c:axId val="1963204751"/>
      </c:scatterChart>
      <c:valAx>
        <c:axId val="195493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Nº</a:t>
                </a:r>
                <a:r>
                  <a:rPr lang="es-ES" baseline="0"/>
                  <a:t> armónicos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3204751"/>
        <c:crosses val="autoZero"/>
        <c:crossBetween val="midCat"/>
      </c:valAx>
      <c:valAx>
        <c:axId val="196320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Frecuencias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493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402992</xdr:colOff>
      <xdr:row>6</xdr:row>
      <xdr:rowOff>189824</xdr:rowOff>
    </xdr:from>
    <xdr:ext cx="2842260" cy="78124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8233A64-D09C-39D9-1B7E-28CC386C02E0}"/>
            </a:ext>
          </a:extLst>
        </xdr:cNvPr>
        <xdr:cNvSpPr txBox="1"/>
      </xdr:nvSpPr>
      <xdr:spPr>
        <a:xfrm>
          <a:off x="11820935" y="1347292"/>
          <a:ext cx="2842260" cy="78124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Los</a:t>
          </a:r>
          <a:r>
            <a:rPr lang="es-ES" sz="1100" baseline="0"/>
            <a:t> datos obtenidos demuestran que la formula: fn = n*f1 (n = 1,2,3...)</a:t>
          </a:r>
        </a:p>
        <a:p>
          <a:r>
            <a:rPr lang="es-ES" sz="1100" baseline="0"/>
            <a:t>ya que todos los armónicos superiores son múltiplos de la frecuencia fundamental.</a:t>
          </a:r>
          <a:endParaRPr lang="es-ES" sz="1100"/>
        </a:p>
      </xdr:txBody>
    </xdr:sp>
    <xdr:clientData/>
  </xdr:oneCellAnchor>
  <xdr:twoCellAnchor>
    <xdr:from>
      <xdr:col>3</xdr:col>
      <xdr:colOff>565583</xdr:colOff>
      <xdr:row>19</xdr:row>
      <xdr:rowOff>55670</xdr:rowOff>
    </xdr:from>
    <xdr:to>
      <xdr:col>11</xdr:col>
      <xdr:colOff>385822</xdr:colOff>
      <xdr:row>38</xdr:row>
      <xdr:rowOff>48227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C57DA26-484F-6C0E-6A12-303AE98C8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786265</xdr:colOff>
      <xdr:row>40</xdr:row>
      <xdr:rowOff>67593</xdr:rowOff>
    </xdr:from>
    <xdr:ext cx="3542907" cy="78124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DFD61084-CCD1-9280-1420-4C9130DFACF9}"/>
            </a:ext>
          </a:extLst>
        </xdr:cNvPr>
        <xdr:cNvSpPr txBox="1"/>
      </xdr:nvSpPr>
      <xdr:spPr>
        <a:xfrm>
          <a:off x="4415411" y="7784049"/>
          <a:ext cx="3542907" cy="78124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/>
            <a:t>A partir de la ecuación f 1 = v / 2L identificamos la pendiente m=v/2, por lo que la velocidad de propagación es: </a:t>
          </a:r>
        </a:p>
        <a:p>
          <a:r>
            <a:rPr lang="es-ES" sz="1100"/>
            <a:t>V = 2*m</a:t>
          </a:r>
        </a:p>
      </xdr:txBody>
    </xdr:sp>
    <xdr:clientData/>
  </xdr:oneCellAnchor>
  <xdr:twoCellAnchor>
    <xdr:from>
      <xdr:col>4</xdr:col>
      <xdr:colOff>258491</xdr:colOff>
      <xdr:row>58</xdr:row>
      <xdr:rowOff>12057</xdr:rowOff>
    </xdr:from>
    <xdr:to>
      <xdr:col>11</xdr:col>
      <xdr:colOff>699303</xdr:colOff>
      <xdr:row>73</xdr:row>
      <xdr:rowOff>156740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1F33FEA-CA32-2FB5-0FE3-43EFEBFEE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419581</xdr:colOff>
      <xdr:row>1</xdr:row>
      <xdr:rowOff>46298</xdr:rowOff>
    </xdr:from>
    <xdr:to>
      <xdr:col>10</xdr:col>
      <xdr:colOff>48228</xdr:colOff>
      <xdr:row>14</xdr:row>
      <xdr:rowOff>168798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21D29C2-70A8-A320-FA7B-5332A1598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2778-4780-4CF8-BCE0-D0D0F6BE0993}">
  <dimension ref="A1:D82"/>
  <sheetViews>
    <sheetView tabSelected="1" zoomScale="79" workbookViewId="0">
      <selection activeCell="N15" sqref="N15"/>
    </sheetView>
  </sheetViews>
  <sheetFormatPr baseColWidth="10" defaultRowHeight="15" x14ac:dyDescent="0.25"/>
  <cols>
    <col min="1" max="1" width="29.5703125" bestFit="1" customWidth="1"/>
    <col min="2" max="2" width="24.7109375" bestFit="1" customWidth="1"/>
    <col min="3" max="3" width="23.7109375" bestFit="1" customWidth="1"/>
    <col min="4" max="4" width="24.7109375" bestFit="1" customWidth="1"/>
  </cols>
  <sheetData>
    <row r="1" spans="1:4" x14ac:dyDescent="0.25">
      <c r="A1" s="2" t="s">
        <v>17</v>
      </c>
      <c r="B1" s="2" t="s">
        <v>16</v>
      </c>
      <c r="C1" s="2" t="s">
        <v>15</v>
      </c>
      <c r="D1" s="3"/>
    </row>
    <row r="2" spans="1:4" x14ac:dyDescent="0.25">
      <c r="A2" s="4" t="s">
        <v>6</v>
      </c>
      <c r="B2" s="4">
        <v>1</v>
      </c>
      <c r="C2" s="4">
        <v>7.1</v>
      </c>
      <c r="D2" s="3"/>
    </row>
    <row r="3" spans="1:4" x14ac:dyDescent="0.25">
      <c r="A3" s="4" t="s">
        <v>7</v>
      </c>
      <c r="B3" s="4">
        <v>2</v>
      </c>
      <c r="C3" s="4">
        <v>14</v>
      </c>
      <c r="D3" s="3"/>
    </row>
    <row r="4" spans="1:4" x14ac:dyDescent="0.25">
      <c r="A4" s="4" t="s">
        <v>8</v>
      </c>
      <c r="B4" s="4">
        <v>3</v>
      </c>
      <c r="C4" s="4">
        <v>21.1</v>
      </c>
      <c r="D4" s="3"/>
    </row>
    <row r="5" spans="1:4" x14ac:dyDescent="0.25">
      <c r="A5" s="4" t="s">
        <v>9</v>
      </c>
      <c r="B5" s="4">
        <v>4</v>
      </c>
      <c r="C5" s="4">
        <v>28</v>
      </c>
      <c r="D5" s="3"/>
    </row>
    <row r="6" spans="1:4" x14ac:dyDescent="0.25">
      <c r="A6" s="4" t="s">
        <v>10</v>
      </c>
      <c r="B6" s="4">
        <v>5</v>
      </c>
      <c r="C6" s="4">
        <v>35</v>
      </c>
      <c r="D6" s="3"/>
    </row>
    <row r="7" spans="1:4" x14ac:dyDescent="0.25">
      <c r="A7" s="4" t="s">
        <v>11</v>
      </c>
      <c r="B7" s="4">
        <v>6</v>
      </c>
      <c r="C7" s="4">
        <v>42</v>
      </c>
      <c r="D7" s="3"/>
    </row>
    <row r="8" spans="1:4" x14ac:dyDescent="0.25">
      <c r="A8" s="4" t="s">
        <v>12</v>
      </c>
      <c r="B8" s="4">
        <v>7</v>
      </c>
      <c r="C8" s="4">
        <v>49</v>
      </c>
      <c r="D8" s="3"/>
    </row>
    <row r="9" spans="1:4" x14ac:dyDescent="0.25">
      <c r="A9" s="4" t="s">
        <v>13</v>
      </c>
      <c r="B9" s="4">
        <v>8</v>
      </c>
      <c r="C9" s="4">
        <v>56</v>
      </c>
      <c r="D9" s="3"/>
    </row>
    <row r="10" spans="1:4" x14ac:dyDescent="0.25">
      <c r="A10" s="4" t="s">
        <v>14</v>
      </c>
      <c r="B10" s="4">
        <v>9</v>
      </c>
      <c r="C10" s="4">
        <v>63</v>
      </c>
      <c r="D10" s="3"/>
    </row>
    <row r="11" spans="1:4" x14ac:dyDescent="0.25">
      <c r="A11" s="3"/>
      <c r="B11" s="3"/>
      <c r="C11" s="3"/>
      <c r="D11" s="3"/>
    </row>
    <row r="12" spans="1:4" x14ac:dyDescent="0.25">
      <c r="A12" s="3"/>
      <c r="B12" s="3"/>
      <c r="C12" s="3"/>
      <c r="D12" s="3"/>
    </row>
    <row r="13" spans="1:4" x14ac:dyDescent="0.25">
      <c r="A13" s="3"/>
      <c r="B13" s="3"/>
      <c r="C13" s="3"/>
      <c r="D13" s="3"/>
    </row>
    <row r="14" spans="1:4" x14ac:dyDescent="0.25">
      <c r="A14" s="3"/>
      <c r="B14" s="3"/>
      <c r="C14" s="3"/>
      <c r="D14" s="3"/>
    </row>
    <row r="15" spans="1:4" x14ac:dyDescent="0.25">
      <c r="A15" s="3"/>
      <c r="B15" s="3"/>
      <c r="C15" s="3"/>
      <c r="D15" s="3"/>
    </row>
    <row r="16" spans="1:4" x14ac:dyDescent="0.25">
      <c r="A16" s="2" t="s">
        <v>0</v>
      </c>
      <c r="B16" s="2" t="s">
        <v>1</v>
      </c>
      <c r="C16" s="2" t="s">
        <v>2</v>
      </c>
      <c r="D16" s="3"/>
    </row>
    <row r="17" spans="1:4" x14ac:dyDescent="0.25">
      <c r="A17" s="4">
        <v>1.6</v>
      </c>
      <c r="B17" s="5">
        <f>1/A17</f>
        <v>0.625</v>
      </c>
      <c r="C17" s="4">
        <v>7</v>
      </c>
      <c r="D17" s="3"/>
    </row>
    <row r="18" spans="1:4" x14ac:dyDescent="0.25">
      <c r="A18" s="4">
        <v>1.5</v>
      </c>
      <c r="B18" s="5">
        <f t="shared" ref="B18:B23" si="0">1/A18</f>
        <v>0.66666666666666663</v>
      </c>
      <c r="C18" s="4">
        <v>7.5</v>
      </c>
      <c r="D18" s="3"/>
    </row>
    <row r="19" spans="1:4" x14ac:dyDescent="0.25">
      <c r="A19" s="4">
        <v>1.4</v>
      </c>
      <c r="B19" s="5">
        <f t="shared" si="0"/>
        <v>0.7142857142857143</v>
      </c>
      <c r="C19" s="4">
        <v>8.1</v>
      </c>
      <c r="D19" s="3"/>
    </row>
    <row r="20" spans="1:4" x14ac:dyDescent="0.25">
      <c r="A20" s="4">
        <v>1.3</v>
      </c>
      <c r="B20" s="5">
        <f t="shared" si="0"/>
        <v>0.76923076923076916</v>
      </c>
      <c r="C20" s="4">
        <v>8.6999999999999993</v>
      </c>
      <c r="D20" s="3"/>
    </row>
    <row r="21" spans="1:4" x14ac:dyDescent="0.25">
      <c r="A21" s="4">
        <v>1.2</v>
      </c>
      <c r="B21" s="5">
        <f t="shared" si="0"/>
        <v>0.83333333333333337</v>
      </c>
      <c r="C21" s="4">
        <v>9.3000000000000007</v>
      </c>
      <c r="D21" s="3"/>
    </row>
    <row r="22" spans="1:4" x14ac:dyDescent="0.25">
      <c r="A22" s="4">
        <v>1.1000000000000001</v>
      </c>
      <c r="B22" s="5">
        <f t="shared" si="0"/>
        <v>0.90909090909090906</v>
      </c>
      <c r="C22" s="4">
        <v>10</v>
      </c>
      <c r="D22" s="3"/>
    </row>
    <row r="23" spans="1:4" x14ac:dyDescent="0.25">
      <c r="A23" s="4">
        <v>1</v>
      </c>
      <c r="B23" s="5">
        <f t="shared" si="0"/>
        <v>1</v>
      </c>
      <c r="C23" s="4">
        <v>10.7</v>
      </c>
      <c r="D23" s="3"/>
    </row>
    <row r="24" spans="1:4" x14ac:dyDescent="0.25">
      <c r="A24" s="3"/>
      <c r="B24" s="3"/>
      <c r="C24" s="3"/>
      <c r="D24" s="3"/>
    </row>
    <row r="25" spans="1:4" x14ac:dyDescent="0.25">
      <c r="A25" s="3"/>
      <c r="B25" s="3"/>
      <c r="C25" s="3"/>
      <c r="D25" s="3"/>
    </row>
    <row r="26" spans="1:4" x14ac:dyDescent="0.25">
      <c r="A26" s="3"/>
      <c r="B26" s="2" t="s">
        <v>34</v>
      </c>
      <c r="C26" s="2" t="s">
        <v>44</v>
      </c>
    </row>
    <row r="27" spans="1:4" x14ac:dyDescent="0.25">
      <c r="A27" s="11" t="s">
        <v>18</v>
      </c>
      <c r="B27" s="6">
        <f>A36</f>
        <v>9.8902765271904851</v>
      </c>
      <c r="C27" s="4" t="s">
        <v>45</v>
      </c>
    </row>
    <row r="28" spans="1:4" x14ac:dyDescent="0.25">
      <c r="A28" s="11" t="s">
        <v>20</v>
      </c>
      <c r="B28" s="6">
        <f>A37</f>
        <v>0.38501810712533358</v>
      </c>
      <c r="C28" s="4" t="s">
        <v>46</v>
      </c>
    </row>
    <row r="29" spans="1:4" x14ac:dyDescent="0.25">
      <c r="A29" s="11" t="s">
        <v>19</v>
      </c>
      <c r="B29" s="6">
        <f>2*B27</f>
        <v>19.78055305438097</v>
      </c>
      <c r="C29" s="4" t="s">
        <v>50</v>
      </c>
    </row>
    <row r="30" spans="1:4" x14ac:dyDescent="0.25">
      <c r="A30" s="11" t="s">
        <v>24</v>
      </c>
      <c r="B30" s="6">
        <f>2*B28</f>
        <v>0.77003621425066715</v>
      </c>
      <c r="C30" s="4" t="s">
        <v>51</v>
      </c>
    </row>
    <row r="31" spans="1:4" x14ac:dyDescent="0.25">
      <c r="A31" s="11" t="s">
        <v>21</v>
      </c>
      <c r="B31" s="6">
        <f>B36</f>
        <v>0.96133387409177118</v>
      </c>
      <c r="C31" s="4" t="s">
        <v>47</v>
      </c>
    </row>
    <row r="32" spans="1:4" x14ac:dyDescent="0.25">
      <c r="A32" s="11" t="s">
        <v>23</v>
      </c>
      <c r="B32" s="6">
        <f>B37</f>
        <v>0.30725314183417313</v>
      </c>
      <c r="C32" s="4" t="s">
        <v>48</v>
      </c>
    </row>
    <row r="33" spans="1:4" x14ac:dyDescent="0.25">
      <c r="A33" s="11" t="s">
        <v>22</v>
      </c>
      <c r="B33" s="6">
        <f>A38</f>
        <v>0.99247966715244118</v>
      </c>
      <c r="C33" s="4" t="s">
        <v>49</v>
      </c>
    </row>
    <row r="34" spans="1:4" x14ac:dyDescent="0.25">
      <c r="A34" s="3"/>
      <c r="B34" s="3"/>
      <c r="C34" s="3"/>
      <c r="D34" s="3"/>
    </row>
    <row r="35" spans="1:4" x14ac:dyDescent="0.25">
      <c r="A35" s="2" t="s">
        <v>33</v>
      </c>
      <c r="B35" s="3"/>
      <c r="C35" s="3"/>
      <c r="D35" s="3"/>
    </row>
    <row r="36" spans="1:4" x14ac:dyDescent="0.25">
      <c r="A36" s="6">
        <f t="array" ref="A36:B39">LINEST(C17:C23,B17:B23,TRUE,TRUE)</f>
        <v>9.8902765271904851</v>
      </c>
      <c r="B36" s="6">
        <v>0.96133387409177118</v>
      </c>
      <c r="C36" s="3"/>
      <c r="D36" s="3"/>
    </row>
    <row r="37" spans="1:4" x14ac:dyDescent="0.25">
      <c r="A37" s="6">
        <v>0.38501810712533358</v>
      </c>
      <c r="B37" s="6">
        <v>0.30725314183417313</v>
      </c>
      <c r="C37" s="3"/>
      <c r="D37" s="3"/>
    </row>
    <row r="38" spans="1:4" x14ac:dyDescent="0.25">
      <c r="A38" s="6">
        <v>0.99247966715244118</v>
      </c>
      <c r="B38" s="6">
        <v>0.1269617906777869</v>
      </c>
      <c r="C38" s="3"/>
      <c r="D38" s="3"/>
    </row>
    <row r="39" spans="1:4" x14ac:dyDescent="0.25">
      <c r="A39" s="6">
        <v>659.86418903959952</v>
      </c>
      <c r="B39" s="6">
        <v>5</v>
      </c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7"/>
      <c r="B41" s="2" t="s">
        <v>52</v>
      </c>
      <c r="C41" s="3"/>
    </row>
    <row r="42" spans="1:4" x14ac:dyDescent="0.25">
      <c r="A42" s="2" t="s">
        <v>53</v>
      </c>
      <c r="B42" s="4" t="s">
        <v>54</v>
      </c>
      <c r="C42" s="3"/>
      <c r="D42" s="3"/>
    </row>
    <row r="43" spans="1:4" x14ac:dyDescent="0.25">
      <c r="A43" s="2" t="s">
        <v>21</v>
      </c>
      <c r="B43" s="4" t="s">
        <v>55</v>
      </c>
      <c r="C43" s="3"/>
      <c r="D43" s="3"/>
    </row>
    <row r="44" spans="1:4" x14ac:dyDescent="0.25">
      <c r="A44" s="2" t="s">
        <v>22</v>
      </c>
      <c r="B44" s="4">
        <v>0.99250000000000005</v>
      </c>
      <c r="C44" s="3"/>
      <c r="D44" s="3"/>
    </row>
    <row r="45" spans="1:4" x14ac:dyDescent="0.25">
      <c r="A45" s="2" t="s">
        <v>56</v>
      </c>
      <c r="B45" s="4" t="s">
        <v>57</v>
      </c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2" t="s">
        <v>26</v>
      </c>
      <c r="B51" s="2" t="s">
        <v>3</v>
      </c>
      <c r="C51" s="2" t="s">
        <v>4</v>
      </c>
      <c r="D51" s="2" t="s">
        <v>5</v>
      </c>
    </row>
    <row r="52" spans="1:4" x14ac:dyDescent="0.25">
      <c r="A52" s="4">
        <v>0.15</v>
      </c>
      <c r="B52" s="4">
        <v>6.2</v>
      </c>
      <c r="C52" s="4">
        <f>B52^2</f>
        <v>38.440000000000005</v>
      </c>
      <c r="D52" s="4">
        <f>A52*$B$60</f>
        <v>1.47</v>
      </c>
    </row>
    <row r="53" spans="1:4" x14ac:dyDescent="0.25">
      <c r="A53" s="4">
        <v>0.17</v>
      </c>
      <c r="B53" s="4">
        <v>6.6</v>
      </c>
      <c r="C53" s="4">
        <f t="shared" ref="C53:C57" si="1">B53^2</f>
        <v>43.559999999999995</v>
      </c>
      <c r="D53" s="4">
        <f t="shared" ref="D53:D57" si="2">A53*$B$60</f>
        <v>1.6660000000000001</v>
      </c>
    </row>
    <row r="54" spans="1:4" x14ac:dyDescent="0.25">
      <c r="A54" s="4">
        <v>0.2</v>
      </c>
      <c r="B54" s="4">
        <v>7.1</v>
      </c>
      <c r="C54" s="4">
        <f t="shared" si="1"/>
        <v>50.41</v>
      </c>
      <c r="D54" s="4">
        <f t="shared" si="2"/>
        <v>1.9600000000000002</v>
      </c>
    </row>
    <row r="55" spans="1:4" x14ac:dyDescent="0.25">
      <c r="A55" s="4">
        <v>0.22</v>
      </c>
      <c r="B55" s="4">
        <v>7.4</v>
      </c>
      <c r="C55" s="4">
        <f t="shared" si="1"/>
        <v>54.760000000000005</v>
      </c>
      <c r="D55" s="4">
        <f t="shared" si="2"/>
        <v>2.1560000000000001</v>
      </c>
    </row>
    <row r="56" spans="1:4" x14ac:dyDescent="0.25">
      <c r="A56" s="4">
        <v>0.25</v>
      </c>
      <c r="B56" s="4">
        <v>7.9</v>
      </c>
      <c r="C56" s="4">
        <f t="shared" si="1"/>
        <v>62.410000000000004</v>
      </c>
      <c r="D56" s="4">
        <f t="shared" si="2"/>
        <v>2.4500000000000002</v>
      </c>
    </row>
    <row r="57" spans="1:4" x14ac:dyDescent="0.25">
      <c r="A57" s="4">
        <v>0.27</v>
      </c>
      <c r="B57" s="4">
        <v>8.3000000000000007</v>
      </c>
      <c r="C57" s="4">
        <f t="shared" si="1"/>
        <v>68.890000000000015</v>
      </c>
      <c r="D57" s="4">
        <f t="shared" si="2"/>
        <v>2.6460000000000004</v>
      </c>
    </row>
    <row r="58" spans="1:4" s="1" customFormat="1" x14ac:dyDescent="0.25">
      <c r="A58" s="7"/>
      <c r="B58" s="7"/>
      <c r="C58" s="7"/>
      <c r="D58" s="7"/>
    </row>
    <row r="59" spans="1:4" x14ac:dyDescent="0.25">
      <c r="A59" s="3"/>
      <c r="B59" s="2" t="s">
        <v>34</v>
      </c>
      <c r="C59" s="2" t="s">
        <v>35</v>
      </c>
      <c r="D59" s="3"/>
    </row>
    <row r="60" spans="1:4" x14ac:dyDescent="0.25">
      <c r="A60" s="11" t="s">
        <v>27</v>
      </c>
      <c r="B60" s="8">
        <v>9.8000000000000007</v>
      </c>
      <c r="C60" s="4" t="s">
        <v>36</v>
      </c>
      <c r="D60" s="3"/>
    </row>
    <row r="61" spans="1:4" x14ac:dyDescent="0.25">
      <c r="A61" s="11" t="s">
        <v>30</v>
      </c>
      <c r="B61" s="4">
        <v>1.6</v>
      </c>
      <c r="C61" s="4" t="s">
        <v>37</v>
      </c>
      <c r="D61" s="3"/>
    </row>
    <row r="62" spans="1:4" x14ac:dyDescent="0.25">
      <c r="A62" s="11" t="s">
        <v>25</v>
      </c>
      <c r="B62" s="4">
        <v>1E-3</v>
      </c>
      <c r="C62" s="4" t="s">
        <v>38</v>
      </c>
      <c r="D62" s="3"/>
    </row>
    <row r="63" spans="1:4" x14ac:dyDescent="0.25">
      <c r="A63" s="12" t="s">
        <v>28</v>
      </c>
      <c r="B63" s="6">
        <f>A72</f>
        <v>3.945307190133332E-2</v>
      </c>
      <c r="C63" s="4" t="s">
        <v>40</v>
      </c>
      <c r="D63" s="3"/>
    </row>
    <row r="64" spans="1:4" x14ac:dyDescent="0.25">
      <c r="A64" s="12" t="s">
        <v>29</v>
      </c>
      <c r="B64" s="6">
        <f>A73</f>
        <v>1.1227341702863072E-3</v>
      </c>
      <c r="C64" s="4" t="s">
        <v>39</v>
      </c>
      <c r="D64" s="3"/>
    </row>
    <row r="65" spans="1:4" x14ac:dyDescent="0.25">
      <c r="A65" s="12" t="s">
        <v>21</v>
      </c>
      <c r="B65" s="6">
        <f>B72</f>
        <v>-3.6103301402937049E-2</v>
      </c>
      <c r="C65" s="4" t="s">
        <v>41</v>
      </c>
      <c r="D65" s="3"/>
    </row>
    <row r="66" spans="1:4" x14ac:dyDescent="0.25">
      <c r="A66" s="12" t="s">
        <v>23</v>
      </c>
      <c r="B66" s="6">
        <f>B73</f>
        <v>6.0731120630191121E-2</v>
      </c>
      <c r="C66" s="4" t="s">
        <v>42</v>
      </c>
      <c r="D66" s="3"/>
    </row>
    <row r="67" spans="1:4" x14ac:dyDescent="0.25">
      <c r="A67" s="12" t="s">
        <v>22</v>
      </c>
      <c r="B67" s="6">
        <f>A74</f>
        <v>0.99677115137706351</v>
      </c>
      <c r="C67" s="4" t="s">
        <v>43</v>
      </c>
      <c r="D67" s="3"/>
    </row>
    <row r="68" spans="1:4" x14ac:dyDescent="0.25">
      <c r="A68" s="13" t="s">
        <v>31</v>
      </c>
      <c r="B68" s="6">
        <f>B63/4*(B61^2)</f>
        <v>2.524996601685333E-2</v>
      </c>
      <c r="C68" s="4" t="s">
        <v>61</v>
      </c>
      <c r="D68" s="3"/>
    </row>
    <row r="69" spans="1:4" x14ac:dyDescent="0.25">
      <c r="A69" s="12" t="s">
        <v>32</v>
      </c>
      <c r="B69" s="6">
        <f>B68*(B64/B63+2*B62/B61)</f>
        <v>7.5011232650430346E-4</v>
      </c>
      <c r="C69" s="4" t="s">
        <v>62</v>
      </c>
      <c r="D69" s="3"/>
    </row>
    <row r="70" spans="1:4" x14ac:dyDescent="0.25">
      <c r="A70" s="10"/>
      <c r="B70" s="10"/>
      <c r="C70" s="3"/>
      <c r="D70" s="3"/>
    </row>
    <row r="71" spans="1:4" x14ac:dyDescent="0.25">
      <c r="A71" s="9" t="s">
        <v>33</v>
      </c>
      <c r="B71" s="10"/>
      <c r="C71" s="3"/>
      <c r="D71" s="3"/>
    </row>
    <row r="72" spans="1:4" x14ac:dyDescent="0.25">
      <c r="A72" s="6">
        <f t="array" ref="A72:B75">LINEST(D52:D57,C52:C57,TRUE,TRUE)</f>
        <v>3.945307190133332E-2</v>
      </c>
      <c r="B72" s="6">
        <v>-3.6103301402937049E-2</v>
      </c>
      <c r="C72" s="3"/>
      <c r="D72" s="3"/>
    </row>
    <row r="73" spans="1:4" x14ac:dyDescent="0.25">
      <c r="A73" s="6">
        <v>1.1227341702863072E-3</v>
      </c>
      <c r="B73" s="6">
        <v>6.0731120630191121E-2</v>
      </c>
      <c r="C73" s="3"/>
      <c r="D73" s="3"/>
    </row>
    <row r="74" spans="1:4" x14ac:dyDescent="0.25">
      <c r="A74" s="6">
        <v>0.99677115137706351</v>
      </c>
      <c r="B74" s="6">
        <v>2.8666380092873089E-2</v>
      </c>
      <c r="C74" s="3"/>
      <c r="D74" s="3"/>
    </row>
    <row r="75" spans="1:4" x14ac:dyDescent="0.25">
      <c r="A75" s="6">
        <v>1234.8316911438862</v>
      </c>
      <c r="B75" s="6">
        <v>4</v>
      </c>
      <c r="C75" s="3"/>
      <c r="D75" s="3"/>
    </row>
    <row r="77" spans="1:4" x14ac:dyDescent="0.25">
      <c r="A77" s="7"/>
      <c r="B77" s="2" t="s">
        <v>52</v>
      </c>
    </row>
    <row r="78" spans="1:4" x14ac:dyDescent="0.25">
      <c r="A78" s="2" t="s">
        <v>53</v>
      </c>
      <c r="B78" s="4" t="s">
        <v>58</v>
      </c>
    </row>
    <row r="79" spans="1:4" x14ac:dyDescent="0.25">
      <c r="A79" s="2" t="s">
        <v>21</v>
      </c>
      <c r="B79" s="4" t="s">
        <v>59</v>
      </c>
    </row>
    <row r="80" spans="1:4" x14ac:dyDescent="0.25">
      <c r="A80" s="2" t="s">
        <v>22</v>
      </c>
      <c r="B80" s="4">
        <v>0.99680000000000002</v>
      </c>
    </row>
    <row r="81" spans="1:2" x14ac:dyDescent="0.25">
      <c r="A81" s="2" t="s">
        <v>60</v>
      </c>
      <c r="B81" s="4" t="s">
        <v>63</v>
      </c>
    </row>
    <row r="82" spans="1:2" x14ac:dyDescent="0.25">
      <c r="A82" s="2" t="s">
        <v>64</v>
      </c>
      <c r="B82" s="14" t="s">
        <v>65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4974-18A3-4A3C-BBF4-B03AFAD38BB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Alguacil</dc:creator>
  <cp:lastModifiedBy>Moises Montes Iglesias</cp:lastModifiedBy>
  <dcterms:created xsi:type="dcterms:W3CDTF">2023-03-21T11:10:16Z</dcterms:created>
  <dcterms:modified xsi:type="dcterms:W3CDTF">2023-03-21T19:44:34Z</dcterms:modified>
</cp:coreProperties>
</file>